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" windowWidth="9540" windowHeight="4340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47" i="2" l="1"/>
  <c r="H48" i="2"/>
  <c r="H47" i="2"/>
  <c r="G47" i="2"/>
  <c r="F47" i="2"/>
  <c r="E47" i="2"/>
  <c r="D48" i="2"/>
  <c r="D47" i="2"/>
  <c r="K44" i="2"/>
  <c r="D44" i="2"/>
  <c r="J36" i="2"/>
  <c r="I36" i="2"/>
  <c r="M26" i="2"/>
  <c r="G36" i="2"/>
  <c r="I37" i="2"/>
  <c r="I38" i="2"/>
  <c r="I39" i="2"/>
  <c r="I40" i="2"/>
  <c r="I41" i="2"/>
  <c r="I42" i="2"/>
  <c r="H37" i="2"/>
  <c r="H38" i="2"/>
  <c r="H39" i="2"/>
  <c r="H40" i="2"/>
  <c r="H41" i="2"/>
  <c r="H42" i="2"/>
  <c r="H36" i="2"/>
  <c r="G37" i="2"/>
  <c r="G38" i="2"/>
  <c r="G39" i="2"/>
  <c r="G40" i="2"/>
  <c r="G41" i="2"/>
  <c r="G42" i="2"/>
  <c r="F37" i="2"/>
  <c r="F38" i="2"/>
  <c r="F39" i="2"/>
  <c r="F40" i="2"/>
  <c r="F41" i="2"/>
  <c r="F42" i="2"/>
  <c r="F36" i="2"/>
  <c r="Q26" i="2"/>
  <c r="N26" i="2"/>
  <c r="O27" i="2"/>
  <c r="O28" i="2"/>
  <c r="O29" i="2"/>
  <c r="O30" i="2"/>
  <c r="O31" i="2"/>
  <c r="O32" i="2"/>
  <c r="O26" i="2"/>
  <c r="N27" i="2"/>
  <c r="N28" i="2"/>
  <c r="N29" i="2"/>
  <c r="N30" i="2"/>
  <c r="N31" i="2"/>
  <c r="N32" i="2"/>
  <c r="M27" i="2"/>
  <c r="M28" i="2"/>
  <c r="M29" i="2"/>
  <c r="M30" i="2"/>
  <c r="M31" i="2"/>
  <c r="M32" i="2"/>
  <c r="Q14" i="2"/>
  <c r="Q15" i="2"/>
  <c r="Q16" i="2"/>
  <c r="Q17" i="2"/>
  <c r="Q18" i="2"/>
  <c r="Q19" i="2"/>
  <c r="Q20" i="2"/>
  <c r="Q21" i="2"/>
  <c r="Q22" i="2"/>
  <c r="D31" i="2"/>
  <c r="D29" i="2"/>
  <c r="D27" i="2"/>
  <c r="E25" i="2"/>
  <c r="D25" i="2"/>
  <c r="M14" i="2"/>
  <c r="M15" i="2"/>
  <c r="M16" i="2"/>
  <c r="M17" i="2"/>
  <c r="M18" i="2"/>
  <c r="M19" i="2"/>
  <c r="M20" i="2"/>
  <c r="L15" i="2"/>
  <c r="L16" i="2"/>
  <c r="L17" i="2"/>
  <c r="L18" i="2"/>
  <c r="L19" i="2"/>
  <c r="L20" i="2"/>
  <c r="L14" i="2"/>
  <c r="K15" i="2"/>
  <c r="K16" i="2"/>
  <c r="K17" i="2"/>
  <c r="K18" i="2"/>
  <c r="K19" i="2"/>
  <c r="K20" i="2"/>
  <c r="K14" i="2"/>
  <c r="I15" i="2"/>
  <c r="J15" i="2" s="1"/>
  <c r="N15" i="2" s="1"/>
  <c r="O15" i="2" s="1"/>
  <c r="I16" i="2"/>
  <c r="J16" i="2" s="1"/>
  <c r="N16" i="2" s="1"/>
  <c r="O16" i="2" s="1"/>
  <c r="I17" i="2"/>
  <c r="J17" i="2" s="1"/>
  <c r="N17" i="2" s="1"/>
  <c r="O17" i="2" s="1"/>
  <c r="I18" i="2"/>
  <c r="J18" i="2" s="1"/>
  <c r="N18" i="2" s="1"/>
  <c r="O18" i="2" s="1"/>
  <c r="I19" i="2"/>
  <c r="J19" i="2" s="1"/>
  <c r="N19" i="2" s="1"/>
  <c r="O19" i="2" s="1"/>
  <c r="I20" i="2"/>
  <c r="J20" i="2" s="1"/>
  <c r="N20" i="2" s="1"/>
  <c r="O20" i="2" s="1"/>
  <c r="I14" i="2"/>
  <c r="J14" i="2" s="1"/>
  <c r="N14" i="2" s="1"/>
  <c r="O14" i="2" s="1"/>
  <c r="Q2" i="2"/>
  <c r="Q3" i="2"/>
  <c r="Q4" i="2"/>
  <c r="Q5" i="2"/>
  <c r="Q6" i="2"/>
  <c r="Q7" i="2"/>
  <c r="Q8" i="2"/>
  <c r="P2" i="2"/>
  <c r="P3" i="2"/>
  <c r="P4" i="2"/>
  <c r="P5" i="2"/>
  <c r="P6" i="2"/>
  <c r="P7" i="2"/>
  <c r="P8" i="2"/>
  <c r="C9" i="2"/>
  <c r="O2" i="2"/>
  <c r="O3" i="2"/>
  <c r="O4" i="2"/>
  <c r="O5" i="2"/>
  <c r="O6" i="2"/>
  <c r="O7" i="2"/>
  <c r="O8" i="2"/>
  <c r="N2" i="2"/>
  <c r="N3" i="2"/>
  <c r="N4" i="2"/>
  <c r="N5" i="2"/>
  <c r="N6" i="2"/>
  <c r="N7" i="2"/>
  <c r="N8" i="2"/>
  <c r="M3" i="2"/>
  <c r="M4" i="2"/>
  <c r="M5" i="2"/>
  <c r="M6" i="2"/>
  <c r="M7" i="2"/>
  <c r="M8" i="2"/>
  <c r="M2" i="2"/>
  <c r="L2" i="2"/>
  <c r="L3" i="2"/>
  <c r="L4" i="2"/>
  <c r="L5" i="2"/>
  <c r="L6" i="2"/>
  <c r="L7" i="2"/>
  <c r="L8" i="2"/>
  <c r="K2" i="2"/>
  <c r="K3" i="2"/>
  <c r="K4" i="2"/>
  <c r="K5" i="2"/>
  <c r="K6" i="2"/>
  <c r="K7" i="2"/>
  <c r="K8" i="2"/>
  <c r="G2" i="2"/>
  <c r="H2" i="2" s="1"/>
  <c r="I2" i="2" s="1"/>
  <c r="J2" i="2" s="1"/>
  <c r="G3" i="2"/>
  <c r="H3" i="2" s="1"/>
  <c r="I3" i="2" s="1"/>
  <c r="J3" i="2" s="1"/>
  <c r="G4" i="2"/>
  <c r="H4" i="2" s="1"/>
  <c r="I4" i="2" s="1"/>
  <c r="J4" i="2" s="1"/>
  <c r="G5" i="2"/>
  <c r="I5" i="2" s="1"/>
  <c r="J5" i="2" s="1"/>
  <c r="H6" i="2"/>
  <c r="I6" i="2" s="1"/>
  <c r="J6" i="2" s="1"/>
  <c r="H7" i="2"/>
  <c r="I7" i="2" s="1"/>
  <c r="J7" i="2" s="1"/>
  <c r="G8" i="2"/>
  <c r="H8" i="2" s="1"/>
  <c r="I8" i="2" s="1"/>
  <c r="J8" i="2" s="1"/>
  <c r="R6" i="2" l="1"/>
  <c r="R7" i="2"/>
  <c r="S5" i="2"/>
  <c r="R5" i="2"/>
  <c r="S8" i="2"/>
  <c r="S4" i="2"/>
  <c r="R2" i="2"/>
  <c r="R4" i="2"/>
  <c r="S7" i="2"/>
  <c r="S3" i="2"/>
  <c r="R8" i="2"/>
  <c r="R3" i="2"/>
  <c r="S6" i="2"/>
  <c r="S2" i="2"/>
</calcChain>
</file>

<file path=xl/sharedStrings.xml><?xml version="1.0" encoding="utf-8"?>
<sst xmlns="http://schemas.openxmlformats.org/spreadsheetml/2006/main" count="118" uniqueCount="83">
  <si>
    <t>sr</t>
  </si>
  <si>
    <t>Name</t>
  </si>
  <si>
    <t>Python</t>
  </si>
  <si>
    <t>Tableau</t>
  </si>
  <si>
    <t>Pbi</t>
  </si>
  <si>
    <t>excel</t>
  </si>
  <si>
    <t>Vishakha</t>
  </si>
  <si>
    <t>Sayli</t>
  </si>
  <si>
    <t>Harshada</t>
  </si>
  <si>
    <t>Yashaswi</t>
  </si>
  <si>
    <t>Saurabh</t>
  </si>
  <si>
    <t>abhi</t>
  </si>
  <si>
    <t>kedar</t>
  </si>
  <si>
    <t>Column1</t>
  </si>
  <si>
    <t>Column2</t>
  </si>
  <si>
    <t>Column3</t>
  </si>
  <si>
    <t>Column4</t>
  </si>
  <si>
    <t>Column5</t>
  </si>
  <si>
    <t>1.lower</t>
  </si>
  <si>
    <t>2.upper</t>
  </si>
  <si>
    <t>3.proper</t>
  </si>
  <si>
    <t>4.len</t>
  </si>
  <si>
    <t>Column6</t>
  </si>
  <si>
    <t>5.Max</t>
  </si>
  <si>
    <t>Lower case</t>
  </si>
  <si>
    <t>Upper case</t>
  </si>
  <si>
    <t>Proper</t>
  </si>
  <si>
    <t>len</t>
  </si>
  <si>
    <t>max</t>
  </si>
  <si>
    <t>sum</t>
  </si>
  <si>
    <t>6.min</t>
  </si>
  <si>
    <t>7.sum</t>
  </si>
  <si>
    <t>8.avg</t>
  </si>
  <si>
    <t>9.Par(%)</t>
  </si>
  <si>
    <t>%</t>
  </si>
  <si>
    <t>Column42</t>
  </si>
  <si>
    <t>#</t>
  </si>
  <si>
    <t>10.Count</t>
  </si>
  <si>
    <t>11.CountA</t>
  </si>
  <si>
    <t>12.CountBlank</t>
  </si>
  <si>
    <t>13.Countif</t>
  </si>
  <si>
    <t>Total</t>
  </si>
  <si>
    <t>Result</t>
  </si>
  <si>
    <t>Python Result</t>
  </si>
  <si>
    <t xml:space="preserve">Tableau </t>
  </si>
  <si>
    <t>Column7</t>
  </si>
  <si>
    <t>Column8</t>
  </si>
  <si>
    <t>Column9</t>
  </si>
  <si>
    <t>Column10</t>
  </si>
  <si>
    <t>Column11</t>
  </si>
  <si>
    <t>Column12</t>
  </si>
  <si>
    <t>And</t>
  </si>
  <si>
    <t>or</t>
  </si>
  <si>
    <t>Not</t>
  </si>
  <si>
    <t>14.IF</t>
  </si>
  <si>
    <t>15.AND</t>
  </si>
  <si>
    <t>16.OR</t>
  </si>
  <si>
    <t>17.NOT</t>
  </si>
  <si>
    <t>18.TODAY()</t>
  </si>
  <si>
    <t>19.Now()</t>
  </si>
  <si>
    <t>20.next day</t>
  </si>
  <si>
    <t>21.Yesterday</t>
  </si>
  <si>
    <t>Column13</t>
  </si>
  <si>
    <t>Column14</t>
  </si>
  <si>
    <t>22.Day</t>
  </si>
  <si>
    <t>23.Month</t>
  </si>
  <si>
    <t>24.Year</t>
  </si>
  <si>
    <t>Addition</t>
  </si>
  <si>
    <t>Sub</t>
  </si>
  <si>
    <t>Mul</t>
  </si>
  <si>
    <t>Div</t>
  </si>
  <si>
    <t>25.Add</t>
  </si>
  <si>
    <t>26.Sub</t>
  </si>
  <si>
    <t>27.Mul</t>
  </si>
  <si>
    <t>29.Div</t>
  </si>
  <si>
    <t>Grade</t>
  </si>
  <si>
    <t>A</t>
  </si>
  <si>
    <t>B</t>
  </si>
  <si>
    <t>C</t>
  </si>
  <si>
    <t>D</t>
  </si>
  <si>
    <t>30 .MEDIAN</t>
  </si>
  <si>
    <t>31.POW</t>
  </si>
  <si>
    <t>32.SQUT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</si>
</sst>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0" borderId="0" xfId="0" applyFont="1" applyBorder="1"/>
    <xf numFmtId="0" fontId="0" fillId="0" borderId="0" xfId="0" applyBorder="1"/>
    <xf numFmtId="0" fontId="0" fillId="0" borderId="0" xfId="0" applyFont="1" applyFill="1" applyBorder="1"/>
    <xf numFmtId="0" fontId="1" fillId="2" borderId="0" xfId="0" applyFont="1" applyFill="1" applyBorder="1"/>
    <xf numFmtId="14" fontId="0" fillId="0" borderId="0" xfId="0" applyNumberFormat="1"/>
    <xf numFmtId="22" fontId="0" fillId="0" borderId="0" xfId="0" applyNumberFormat="1"/>
    <xf numFmtId="14" fontId="0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29"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45635392908596"/>
          <c:y val="7.5972222222222219E-2"/>
          <c:w val="0.79141131691715882"/>
          <c:h val="0.73665172061825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Sheet1!$A$3:$B$3</c:f>
              <c:strCache>
                <c:ptCount val="1"/>
                <c:pt idx="0">
                  <c:v>1 Vishakha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Sheet1!$C$3:$F$3</c:f>
              <c:numCache>
                <c:formatCode>General</c:formatCode>
                <c:ptCount val="4"/>
                <c:pt idx="0">
                  <c:v>59</c:v>
                </c:pt>
                <c:pt idx="1">
                  <c:v>54</c:v>
                </c:pt>
                <c:pt idx="2">
                  <c:v>67</c:v>
                </c:pt>
                <c:pt idx="3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Sheet1!$A$4:$B$4</c:f>
              <c:strCache>
                <c:ptCount val="1"/>
                <c:pt idx="0">
                  <c:v>2 Sayli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Sheet1!$C$4:$F$4</c:f>
              <c:numCache>
                <c:formatCode>General</c:formatCode>
                <c:ptCount val="4"/>
                <c:pt idx="0">
                  <c:v>56</c:v>
                </c:pt>
                <c:pt idx="1">
                  <c:v>43</c:v>
                </c:pt>
                <c:pt idx="2">
                  <c:v>87</c:v>
                </c:pt>
                <c:pt idx="3">
                  <c:v>97</c:v>
                </c:pt>
              </c:numCache>
            </c:numRef>
          </c:val>
        </c:ser>
        <c:ser>
          <c:idx val="2"/>
          <c:order val="2"/>
          <c:tx>
            <c:strRef>
              <c:f>Sheet1!$A$5:$B$5</c:f>
              <c:strCache>
                <c:ptCount val="1"/>
                <c:pt idx="0">
                  <c:v>3 Harshada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Sheet1!$C$5:$F$5</c:f>
              <c:numCache>
                <c:formatCode>General</c:formatCode>
                <c:ptCount val="4"/>
                <c:pt idx="0">
                  <c:v>43</c:v>
                </c:pt>
                <c:pt idx="1">
                  <c:v>44</c:v>
                </c:pt>
                <c:pt idx="2">
                  <c:v>96</c:v>
                </c:pt>
                <c:pt idx="3">
                  <c:v>95</c:v>
                </c:pt>
              </c:numCache>
            </c:numRef>
          </c:val>
        </c:ser>
        <c:ser>
          <c:idx val="3"/>
          <c:order val="3"/>
          <c:tx>
            <c:strRef>
              <c:f>Sheet1!$A$6:$B$6</c:f>
              <c:strCache>
                <c:ptCount val="1"/>
                <c:pt idx="0">
                  <c:v>4 Yashaswi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Sheet1!$C$6:$F$6</c:f>
              <c:numCache>
                <c:formatCode>General</c:formatCode>
                <c:ptCount val="4"/>
                <c:pt idx="0">
                  <c:v>54</c:v>
                </c:pt>
                <c:pt idx="1">
                  <c:v>76</c:v>
                </c:pt>
                <c:pt idx="2">
                  <c:v>94</c:v>
                </c:pt>
                <c:pt idx="3">
                  <c:v>87</c:v>
                </c:pt>
              </c:numCache>
            </c:numRef>
          </c:val>
        </c:ser>
        <c:ser>
          <c:idx val="4"/>
          <c:order val="4"/>
          <c:tx>
            <c:strRef>
              <c:f>Sheet1!$A$7:$B$7</c:f>
              <c:strCache>
                <c:ptCount val="1"/>
                <c:pt idx="0">
                  <c:v>5 Saurabh</c:v>
                </c:pt>
              </c:strCache>
            </c:strRef>
          </c:tx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Sheet1!$C$7:$F$7</c:f>
              <c:numCache>
                <c:formatCode>General</c:formatCode>
                <c:ptCount val="4"/>
                <c:pt idx="0">
                  <c:v>76</c:v>
                </c:pt>
                <c:pt idx="1">
                  <c:v>87</c:v>
                </c:pt>
                <c:pt idx="2">
                  <c:v>93</c:v>
                </c:pt>
                <c:pt idx="3">
                  <c:v>78</c:v>
                </c:pt>
              </c:numCache>
            </c:numRef>
          </c:val>
        </c:ser>
        <c:ser>
          <c:idx val="5"/>
          <c:order val="5"/>
          <c:tx>
            <c:strRef>
              <c:f>Sheet1!$A$8:$B$8</c:f>
              <c:strCache>
                <c:ptCount val="1"/>
                <c:pt idx="0">
                  <c:v>6 abhi</c:v>
                </c:pt>
              </c:strCache>
            </c:strRef>
          </c:tx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Sheet1!$C$8:$F$8</c:f>
              <c:numCache>
                <c:formatCode>General</c:formatCode>
                <c:ptCount val="4"/>
                <c:pt idx="0">
                  <c:v>65</c:v>
                </c:pt>
                <c:pt idx="1">
                  <c:v>98</c:v>
                </c:pt>
                <c:pt idx="2">
                  <c:v>91</c:v>
                </c:pt>
                <c:pt idx="3">
                  <c:v>91</c:v>
                </c:pt>
              </c:numCache>
            </c:numRef>
          </c:val>
        </c:ser>
        <c:ser>
          <c:idx val="6"/>
          <c:order val="6"/>
          <c:tx>
            <c:strRef>
              <c:f>Sheet1!$A$9:$B$9</c:f>
              <c:strCache>
                <c:ptCount val="1"/>
                <c:pt idx="0">
                  <c:v>7 kedar</c:v>
                </c:pt>
              </c:strCache>
            </c:strRef>
          </c:tx>
          <c:invertIfNegative val="0"/>
          <c:cat>
            <c:strRef>
              <c:f>Sheet1!$C$2:$F$2</c:f>
              <c:strCache>
                <c:ptCount val="4"/>
                <c:pt idx="0">
                  <c:v>Python</c:v>
                </c:pt>
                <c:pt idx="1">
                  <c:v>Tableau</c:v>
                </c:pt>
                <c:pt idx="2">
                  <c:v>Pbi</c:v>
                </c:pt>
                <c:pt idx="3">
                  <c:v>excel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87</c:v>
                </c:pt>
                <c:pt idx="1">
                  <c:v>65</c:v>
                </c:pt>
                <c:pt idx="2">
                  <c:v>89</c:v>
                </c:pt>
                <c:pt idx="3">
                  <c:v>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68448"/>
        <c:axId val="151369984"/>
      </c:barChart>
      <c:catAx>
        <c:axId val="151368448"/>
        <c:scaling>
          <c:orientation val="minMax"/>
        </c:scaling>
        <c:delete val="0"/>
        <c:axPos val="b"/>
        <c:majorTickMark val="out"/>
        <c:minorTickMark val="none"/>
        <c:tickLblPos val="nextTo"/>
        <c:crossAx val="151369984"/>
        <c:crosses val="autoZero"/>
        <c:auto val="1"/>
        <c:lblAlgn val="ctr"/>
        <c:lblOffset val="100"/>
        <c:noMultiLvlLbl val="0"/>
      </c:catAx>
      <c:valAx>
        <c:axId val="15136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368448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>
                <a:latin typeface="Bahnschrift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1.3032767254116635E-2"/>
          <c:y val="0.30941746864975211"/>
          <c:w val="0.11915710816915316"/>
          <c:h val="0.5860203412073490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498474</xdr:colOff>
      <xdr:row>11</xdr:row>
      <xdr:rowOff>28575</xdr:rowOff>
    </xdr:from>
    <xdr:to>
      <xdr:col>17</xdr:col>
      <xdr:colOff>577849</xdr:colOff>
      <xdr:row>26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F9" totalsRowShown="0">
  <autoFilter ref="A2:F9"/>
  <tableColumns count="6">
    <tableColumn id="1" name="sr"/>
    <tableColumn id="2" name="Name"/>
    <tableColumn id="3" name="Python"/>
    <tableColumn id="4" name="Tableau"/>
    <tableColumn id="5" name="Pbi"/>
    <tableColumn id="6" name="exce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S9" totalsRowCount="1">
  <autoFilter ref="A1:S9"/>
  <tableColumns count="19">
    <tableColumn id="1" name="sr"/>
    <tableColumn id="2" name="Name"/>
    <tableColumn id="3" name="Python" totalsRowFunction="custom">
      <totalsRowFormula>SUM(Table13[Python])</totalsRowFormula>
    </tableColumn>
    <tableColumn id="4" name="Tableau"/>
    <tableColumn id="5" name="Pbi"/>
    <tableColumn id="6" name="excel"/>
    <tableColumn id="7" name="Lower case" dataDxfId="28" totalsRowDxfId="15">
      <calculatedColumnFormula>LOWER(Table13[[#This Row],[Name]])</calculatedColumnFormula>
    </tableColumn>
    <tableColumn id="8" name="Upper case" dataDxfId="27" totalsRowDxfId="14">
      <calculatedColumnFormula>UPPER(Table13[[#This Row],[Lower case]])</calculatedColumnFormula>
    </tableColumn>
    <tableColumn id="9" name="Proper" dataDxfId="26" totalsRowDxfId="13">
      <calculatedColumnFormula>PROPER(Table13[[#This Row],[Upper case]])</calculatedColumnFormula>
    </tableColumn>
    <tableColumn id="10" name="len" dataDxfId="25" totalsRowDxfId="12">
      <calculatedColumnFormula>LEN(Table13[[#This Row],[Proper]])</calculatedColumnFormula>
    </tableColumn>
    <tableColumn id="11" name="Column5" dataDxfId="24" totalsRowDxfId="11">
      <calculatedColumnFormula>LEN("")</calculatedColumnFormula>
    </tableColumn>
    <tableColumn id="12" name="max" dataDxfId="23" totalsRowDxfId="10">
      <calculatedColumnFormula>MAX(Table13[[#This Row],[Python]:[Pbi]])</calculatedColumnFormula>
    </tableColumn>
    <tableColumn id="13" name="Column1" dataDxfId="22" totalsRowDxfId="9">
      <calculatedColumnFormula>MIN(Table13[[#This Row],[Python]:[excel]])</calculatedColumnFormula>
    </tableColumn>
    <tableColumn id="14" name="Column2" dataDxfId="21" totalsRowDxfId="8">
      <calculatedColumnFormula>MIN(Table13[[#This Row],[Python]:[excel]])</calculatedColumnFormula>
    </tableColumn>
    <tableColumn id="15" name="sum" dataDxfId="20" totalsRowDxfId="7">
      <calculatedColumnFormula>SUM(Table13[[#This Row],[Python]:[excel]])</calculatedColumnFormula>
    </tableColumn>
    <tableColumn id="16" name="%" dataDxfId="19">
      <calculatedColumnFormula>AVERAGE(Table13[[#This Row],[Python]:[excel]])</calculatedColumnFormula>
    </tableColumn>
    <tableColumn id="17" name="Column3" dataDxfId="18">
      <calculatedColumnFormula>COUNT(Table13[[#This Row],[Python]:[excel]])</calculatedColumnFormula>
    </tableColumn>
    <tableColumn id="18" name="Column4" dataDxfId="17">
      <calculatedColumnFormula>COUNTA(Table13[[#This Row],[Lower case]:[Proper]])</calculatedColumnFormula>
    </tableColumn>
    <tableColumn id="19" name="Column42" dataDxfId="16">
      <calculatedColumnFormula>COUNTBLANK(Table13[[#This Row],[Lower case]:[Proper]])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D12:Q22" totalsRowShown="0">
  <autoFilter ref="D12:Q22"/>
  <tableColumns count="14">
    <tableColumn id="1" name="Column1" dataDxfId="6"/>
    <tableColumn id="2" name="Column2" dataDxfId="5"/>
    <tableColumn id="3" name="Column3" dataDxfId="4"/>
    <tableColumn id="4" name="Column4" dataDxfId="3"/>
    <tableColumn id="5" name="Column5" dataDxfId="2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 dataDxfId="1">
      <calculatedColumnFormula>NOT(Table3[[#This Row],[Column11]])</calculatedColumnFormula>
    </tableColumn>
    <tableColumn id="13" name="Column13"/>
    <tableColumn id="14" name="Column14" dataDxfId="0">
      <calculatedColumnFormula>DAY(Table3[[#This Row],[Column13]])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workbookViewId="0">
      <selection activeCell="A3" sqref="A3:F9"/>
    </sheetView>
  </sheetViews>
  <sheetFormatPr defaultRowHeight="14.5" x14ac:dyDescent="0.35"/>
  <cols>
    <col min="4" max="4" width="9.453125" customWidth="1"/>
  </cols>
  <sheetData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>
        <v>1</v>
      </c>
      <c r="B3" t="s">
        <v>6</v>
      </c>
      <c r="C3">
        <v>59</v>
      </c>
      <c r="D3">
        <v>54</v>
      </c>
      <c r="E3">
        <v>67</v>
      </c>
      <c r="F3">
        <v>90</v>
      </c>
    </row>
    <row r="4" spans="1:6" x14ac:dyDescent="0.35">
      <c r="A4">
        <v>2</v>
      </c>
      <c r="B4" t="s">
        <v>7</v>
      </c>
      <c r="C4">
        <v>56</v>
      </c>
      <c r="D4">
        <v>43</v>
      </c>
      <c r="E4">
        <v>87</v>
      </c>
      <c r="F4">
        <v>97</v>
      </c>
    </row>
    <row r="5" spans="1:6" x14ac:dyDescent="0.35">
      <c r="A5">
        <v>3</v>
      </c>
      <c r="B5" t="s">
        <v>8</v>
      </c>
      <c r="C5">
        <v>43</v>
      </c>
      <c r="D5">
        <v>44</v>
      </c>
      <c r="E5">
        <v>96</v>
      </c>
      <c r="F5">
        <v>95</v>
      </c>
    </row>
    <row r="6" spans="1:6" x14ac:dyDescent="0.35">
      <c r="A6">
        <v>4</v>
      </c>
      <c r="B6" t="s">
        <v>9</v>
      </c>
      <c r="C6">
        <v>54</v>
      </c>
      <c r="D6">
        <v>76</v>
      </c>
      <c r="E6">
        <v>94</v>
      </c>
      <c r="F6">
        <v>87</v>
      </c>
    </row>
    <row r="7" spans="1:6" x14ac:dyDescent="0.35">
      <c r="A7">
        <v>5</v>
      </c>
      <c r="B7" t="s">
        <v>10</v>
      </c>
      <c r="C7">
        <v>76</v>
      </c>
      <c r="D7">
        <v>87</v>
      </c>
      <c r="E7">
        <v>93</v>
      </c>
      <c r="F7">
        <v>78</v>
      </c>
    </row>
    <row r="8" spans="1:6" x14ac:dyDescent="0.35">
      <c r="A8">
        <v>6</v>
      </c>
      <c r="B8" t="s">
        <v>11</v>
      </c>
      <c r="C8">
        <v>65</v>
      </c>
      <c r="D8">
        <v>98</v>
      </c>
      <c r="E8">
        <v>91</v>
      </c>
      <c r="F8">
        <v>91</v>
      </c>
    </row>
    <row r="9" spans="1:6" x14ac:dyDescent="0.35">
      <c r="A9">
        <v>7</v>
      </c>
      <c r="B9" t="s">
        <v>12</v>
      </c>
      <c r="C9">
        <v>87</v>
      </c>
      <c r="D9">
        <v>65</v>
      </c>
      <c r="E9">
        <v>89</v>
      </c>
      <c r="F9">
        <v>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32" workbookViewId="0">
      <selection activeCell="B43" sqref="B43"/>
    </sheetView>
  </sheetViews>
  <sheetFormatPr defaultRowHeight="14.5" x14ac:dyDescent="0.35"/>
  <cols>
    <col min="2" max="2" width="21.26953125" customWidth="1"/>
    <col min="4" max="4" width="10.26953125" customWidth="1"/>
    <col min="5" max="5" width="10.36328125" customWidth="1"/>
    <col min="6" max="7" width="10.26953125" customWidth="1"/>
    <col min="8" max="8" width="14.453125" customWidth="1"/>
    <col min="9" max="9" width="11.36328125" customWidth="1"/>
    <col min="10" max="12" width="10.26953125" customWidth="1"/>
    <col min="13" max="15" width="11.26953125" customWidth="1"/>
    <col min="16" max="17" width="10.089843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25</v>
      </c>
      <c r="I1" t="s">
        <v>26</v>
      </c>
      <c r="J1" t="s">
        <v>27</v>
      </c>
      <c r="K1" t="s">
        <v>17</v>
      </c>
      <c r="L1" t="s">
        <v>28</v>
      </c>
      <c r="M1" t="s">
        <v>13</v>
      </c>
      <c r="N1" t="s">
        <v>14</v>
      </c>
      <c r="O1" t="s">
        <v>29</v>
      </c>
      <c r="P1" t="s">
        <v>34</v>
      </c>
      <c r="Q1" t="s">
        <v>15</v>
      </c>
      <c r="R1" t="s">
        <v>16</v>
      </c>
      <c r="S1" t="s">
        <v>35</v>
      </c>
    </row>
    <row r="2" spans="1:19" x14ac:dyDescent="0.35">
      <c r="A2">
        <v>1</v>
      </c>
      <c r="B2" t="s">
        <v>6</v>
      </c>
      <c r="C2">
        <v>59</v>
      </c>
      <c r="D2">
        <v>54</v>
      </c>
      <c r="E2">
        <v>67</v>
      </c>
      <c r="F2">
        <v>90</v>
      </c>
      <c r="G2" t="str">
        <f>LOWER(Table13[[#This Row],[Name]])</f>
        <v>vishakha</v>
      </c>
      <c r="H2" t="str">
        <f>UPPER(Table13[[#This Row],[Lower case]])</f>
        <v>VISHAKHA</v>
      </c>
      <c r="I2" t="str">
        <f>PROPER(Table13[[#This Row],[Upper case]])</f>
        <v>Vishakha</v>
      </c>
      <c r="J2" s="3">
        <f>LEN(Table13[[#This Row],[Proper]])</f>
        <v>8</v>
      </c>
      <c r="K2" s="3">
        <f>LEN("Vishakha")</f>
        <v>8</v>
      </c>
      <c r="L2" s="3">
        <f>MAX(Table13[[#This Row],[Python]:[Pbi]])</f>
        <v>67</v>
      </c>
      <c r="M2" s="3">
        <f>MIN(Table13[[#This Row],[Python]:[excel]])</f>
        <v>54</v>
      </c>
      <c r="N2" s="3">
        <f>MIN(Table13[[#This Row],[Python]:[excel]])</f>
        <v>54</v>
      </c>
      <c r="O2" s="3">
        <f>SUM(Table13[[#This Row],[Python]:[excel]])</f>
        <v>270</v>
      </c>
      <c r="P2" s="3">
        <f>AVERAGE(Table13[[#This Row],[Python]:[excel]])</f>
        <v>67.5</v>
      </c>
      <c r="Q2" s="3">
        <f>COUNT(Table13[[#This Row],[Python]:[excel]])</f>
        <v>4</v>
      </c>
      <c r="R2" s="3">
        <f>COUNTA(Table13[[#This Row],[Lower case]:[Proper]])</f>
        <v>3</v>
      </c>
      <c r="S2" s="3">
        <f>COUNTBLANK(Table13[[#This Row],[Lower case]:[Proper]])</f>
        <v>0</v>
      </c>
    </row>
    <row r="3" spans="1:19" x14ac:dyDescent="0.35">
      <c r="A3">
        <v>2</v>
      </c>
      <c r="B3" t="s">
        <v>7</v>
      </c>
      <c r="C3">
        <v>56</v>
      </c>
      <c r="D3">
        <v>43</v>
      </c>
      <c r="E3">
        <v>87</v>
      </c>
      <c r="F3">
        <v>97</v>
      </c>
      <c r="G3" t="str">
        <f>LOWER(Table13[[#This Row],[Name]])</f>
        <v>sayli</v>
      </c>
      <c r="H3" t="str">
        <f>UPPER(Table13[[#This Row],[Lower case]])</f>
        <v>SAYLI</v>
      </c>
      <c r="I3" t="str">
        <f>PROPER(Table13[[#This Row],[Upper case]])</f>
        <v>Sayli</v>
      </c>
      <c r="J3" s="3">
        <f>LEN(Table13[[#This Row],[Proper]])</f>
        <v>5</v>
      </c>
      <c r="K3" s="3">
        <f t="shared" ref="K3:K8" si="0">LEN("")</f>
        <v>0</v>
      </c>
      <c r="L3" s="3">
        <f>MAX(Table13[[#This Row],[Python]:[Pbi]])</f>
        <v>87</v>
      </c>
      <c r="M3" s="3">
        <f>MIN(Table13[[#This Row],[Python]:[excel]])</f>
        <v>43</v>
      </c>
      <c r="N3" s="3">
        <f>MIN(Table13[[#This Row],[Python]:[excel]])</f>
        <v>43</v>
      </c>
      <c r="O3" s="3">
        <f>SUM(Table13[[#This Row],[Python]:[excel]])</f>
        <v>283</v>
      </c>
      <c r="P3" s="3">
        <f>AVERAGE(Table13[[#This Row],[Python]:[excel]])</f>
        <v>70.75</v>
      </c>
      <c r="Q3" s="3">
        <f>COUNT(Table13[[#This Row],[Python]:[excel]])</f>
        <v>4</v>
      </c>
      <c r="R3" s="3">
        <f>COUNTA(Table13[[#This Row],[Lower case]:[Proper]])</f>
        <v>3</v>
      </c>
      <c r="S3" s="3">
        <f>COUNTBLANK(Table13[[#This Row],[Lower case]:[Proper]])</f>
        <v>0</v>
      </c>
    </row>
    <row r="4" spans="1:19" x14ac:dyDescent="0.35">
      <c r="A4">
        <v>3</v>
      </c>
      <c r="B4" t="s">
        <v>8</v>
      </c>
      <c r="E4">
        <v>96</v>
      </c>
      <c r="F4">
        <v>95</v>
      </c>
      <c r="G4" t="str">
        <f>LOWER(Table13[[#This Row],[Name]])</f>
        <v>harshada</v>
      </c>
      <c r="H4" t="str">
        <f>UPPER(Table13[[#This Row],[Lower case]])</f>
        <v>HARSHADA</v>
      </c>
      <c r="I4" t="str">
        <f>PROPER(Table13[[#This Row],[Upper case]])</f>
        <v>Harshada</v>
      </c>
      <c r="J4" s="3">
        <f>LEN(Table13[[#This Row],[Proper]])</f>
        <v>8</v>
      </c>
      <c r="K4" s="3">
        <f t="shared" si="0"/>
        <v>0</v>
      </c>
      <c r="L4" s="3">
        <f>MAX(Table13[[#This Row],[Python]:[Pbi]])</f>
        <v>96</v>
      </c>
      <c r="M4" s="3">
        <f>MIN(Table13[[#This Row],[Python]:[excel]])</f>
        <v>95</v>
      </c>
      <c r="N4" s="3">
        <f>MIN(Table13[[#This Row],[Python]:[excel]])</f>
        <v>95</v>
      </c>
      <c r="O4" s="3">
        <f>SUM(Table13[[#This Row],[Python]:[excel]])</f>
        <v>191</v>
      </c>
      <c r="P4" s="3">
        <f>AVERAGE(Table13[[#This Row],[Python]:[excel]])</f>
        <v>95.5</v>
      </c>
      <c r="Q4" s="3">
        <f>COUNT(Table13[[#This Row],[Python]:[excel]])</f>
        <v>2</v>
      </c>
      <c r="R4" s="3">
        <f>COUNTA(Table13[[#This Row],[Lower case]:[Proper]])</f>
        <v>3</v>
      </c>
      <c r="S4" s="3">
        <f>COUNTBLANK(Table13[[#This Row],[Lower case]:[Proper]])</f>
        <v>0</v>
      </c>
    </row>
    <row r="5" spans="1:19" x14ac:dyDescent="0.35">
      <c r="A5">
        <v>4</v>
      </c>
      <c r="B5" t="s">
        <v>9</v>
      </c>
      <c r="C5">
        <v>54</v>
      </c>
      <c r="D5">
        <v>76</v>
      </c>
      <c r="E5">
        <v>94</v>
      </c>
      <c r="F5">
        <v>87</v>
      </c>
      <c r="G5" t="str">
        <f>LOWER(Table13[[#This Row],[Name]])</f>
        <v>yashaswi</v>
      </c>
      <c r="H5" t="s">
        <v>36</v>
      </c>
      <c r="I5" t="str">
        <f>PROPER(Table13[[#This Row],[Upper case]])</f>
        <v>#</v>
      </c>
      <c r="J5" s="3">
        <f>LEN(Table13[[#This Row],[Proper]])</f>
        <v>1</v>
      </c>
      <c r="K5" s="3">
        <f t="shared" si="0"/>
        <v>0</v>
      </c>
      <c r="L5" s="3">
        <f>MAX(Table13[[#This Row],[Python]:[Pbi]])</f>
        <v>94</v>
      </c>
      <c r="M5" s="3">
        <f>MIN(Table13[[#This Row],[Python]:[excel]])</f>
        <v>54</v>
      </c>
      <c r="N5" s="3">
        <f>MIN(Table13[[#This Row],[Python]:[excel]])</f>
        <v>54</v>
      </c>
      <c r="O5" s="3">
        <f>SUM(Table13[[#This Row],[Python]:[excel]])</f>
        <v>311</v>
      </c>
      <c r="P5" s="3">
        <f>AVERAGE(Table13[[#This Row],[Python]:[excel]])</f>
        <v>77.75</v>
      </c>
      <c r="Q5" s="3">
        <f>COUNT(Table13[[#This Row],[Python]:[excel]])</f>
        <v>4</v>
      </c>
      <c r="R5" s="3">
        <f>COUNTA(Table13[[#This Row],[Lower case]:[Proper]])</f>
        <v>3</v>
      </c>
      <c r="S5" s="3">
        <f>COUNTBLANK(Table13[[#This Row],[Lower case]:[Proper]])</f>
        <v>0</v>
      </c>
    </row>
    <row r="6" spans="1:19" x14ac:dyDescent="0.35">
      <c r="A6">
        <v>5</v>
      </c>
      <c r="B6" t="s">
        <v>10</v>
      </c>
      <c r="C6">
        <v>76</v>
      </c>
      <c r="E6">
        <v>93</v>
      </c>
      <c r="F6">
        <v>78</v>
      </c>
      <c r="H6" t="str">
        <f>UPPER(Table13[[#This Row],[Lower case]])</f>
        <v/>
      </c>
      <c r="I6" t="str">
        <f>PROPER(Table13[[#This Row],[Upper case]])</f>
        <v/>
      </c>
      <c r="J6" s="3">
        <f>LEN(Table13[[#This Row],[Proper]])</f>
        <v>0</v>
      </c>
      <c r="K6" s="3">
        <f t="shared" si="0"/>
        <v>0</v>
      </c>
      <c r="L6" s="3">
        <f>MAX(Table13[[#This Row],[Python]:[Pbi]])</f>
        <v>93</v>
      </c>
      <c r="M6" s="3">
        <f>MIN(Table13[[#This Row],[Python]:[excel]])</f>
        <v>76</v>
      </c>
      <c r="N6" s="3">
        <f>MIN(Table13[[#This Row],[Python]:[excel]])</f>
        <v>76</v>
      </c>
      <c r="O6" s="3">
        <f>SUM(Table13[[#This Row],[Python]:[excel]])</f>
        <v>247</v>
      </c>
      <c r="P6" s="3">
        <f>AVERAGE(Table13[[#This Row],[Python]:[excel]])</f>
        <v>82.333333333333329</v>
      </c>
      <c r="Q6" s="3">
        <f>COUNT(Table13[[#This Row],[Python]:[excel]])</f>
        <v>3</v>
      </c>
      <c r="R6" s="3">
        <f>COUNTA(Table13[[#This Row],[Lower case]:[Proper]])</f>
        <v>2</v>
      </c>
      <c r="S6" s="3">
        <f>COUNTBLANK(Table13[[#This Row],[Lower case]:[Proper]])</f>
        <v>3</v>
      </c>
    </row>
    <row r="7" spans="1:19" x14ac:dyDescent="0.35">
      <c r="A7">
        <v>6</v>
      </c>
      <c r="B7" t="s">
        <v>11</v>
      </c>
      <c r="D7">
        <v>98</v>
      </c>
      <c r="E7">
        <v>91</v>
      </c>
      <c r="F7">
        <v>91</v>
      </c>
      <c r="G7">
        <v>2</v>
      </c>
      <c r="H7" t="str">
        <f>UPPER(Table13[[#This Row],[Lower case]])</f>
        <v>2</v>
      </c>
      <c r="I7" t="str">
        <f>PROPER(Table13[[#This Row],[Upper case]])</f>
        <v>2</v>
      </c>
      <c r="J7" s="3">
        <f>LEN(Table13[[#This Row],[Proper]])</f>
        <v>1</v>
      </c>
      <c r="K7" s="3">
        <f t="shared" si="0"/>
        <v>0</v>
      </c>
      <c r="L7" s="3">
        <f>MAX(Table13[[#This Row],[Python]:[Pbi]])</f>
        <v>98</v>
      </c>
      <c r="M7" s="3">
        <f>MIN(Table13[[#This Row],[Python]:[excel]])</f>
        <v>91</v>
      </c>
      <c r="N7" s="3">
        <f>MIN(Table13[[#This Row],[Python]:[excel]])</f>
        <v>91</v>
      </c>
      <c r="O7" s="3">
        <f>SUM(Table13[[#This Row],[Python]:[excel]])</f>
        <v>280</v>
      </c>
      <c r="P7" s="3">
        <f>AVERAGE(Table13[[#This Row],[Python]:[excel]])</f>
        <v>93.333333333333329</v>
      </c>
      <c r="Q7" s="3">
        <f>COUNT(Table13[[#This Row],[Python]:[excel]])</f>
        <v>3</v>
      </c>
      <c r="R7" s="3">
        <f>COUNTA(Table13[[#This Row],[Lower case]:[Proper]])</f>
        <v>3</v>
      </c>
      <c r="S7" s="3">
        <f>COUNTBLANK(Table13[[#This Row],[Lower case]:[Proper]])</f>
        <v>0</v>
      </c>
    </row>
    <row r="8" spans="1:19" x14ac:dyDescent="0.35">
      <c r="A8">
        <v>7</v>
      </c>
      <c r="B8" t="s">
        <v>12</v>
      </c>
      <c r="C8">
        <v>87</v>
      </c>
      <c r="D8">
        <v>65</v>
      </c>
      <c r="E8">
        <v>89</v>
      </c>
      <c r="F8">
        <v>87</v>
      </c>
      <c r="G8" t="str">
        <f>LOWER(Table13[[#This Row],[Name]])</f>
        <v>kedar</v>
      </c>
      <c r="H8" t="str">
        <f>UPPER(Table13[[#This Row],[Lower case]])</f>
        <v>KEDAR</v>
      </c>
      <c r="I8" t="str">
        <f>PROPER(Table13[[#This Row],[Upper case]])</f>
        <v>Kedar</v>
      </c>
      <c r="J8" s="3">
        <f>LEN(Table13[[#This Row],[Proper]])</f>
        <v>5</v>
      </c>
      <c r="K8" s="3">
        <f t="shared" si="0"/>
        <v>0</v>
      </c>
      <c r="L8" s="3">
        <f>MAX(Table13[[#This Row],[Python]:[Pbi]])</f>
        <v>89</v>
      </c>
      <c r="M8" s="3">
        <f>MIN(Table13[[#This Row],[Python]:[excel]])</f>
        <v>65</v>
      </c>
      <c r="N8" s="3">
        <f>MIN(Table13[[#This Row],[Python]:[excel]])</f>
        <v>65</v>
      </c>
      <c r="O8" s="3">
        <f>SUM(Table13[[#This Row],[Python]:[excel]])</f>
        <v>328</v>
      </c>
      <c r="P8" s="3">
        <f>AVERAGE(Table13[[#This Row],[Python]:[excel]])</f>
        <v>82</v>
      </c>
      <c r="Q8" s="3">
        <f>COUNT(Table13[[#This Row],[Python]:[excel]])</f>
        <v>4</v>
      </c>
      <c r="R8" s="3">
        <f>COUNTA(Table13[[#This Row],[Lower case]:[Proper]])</f>
        <v>3</v>
      </c>
      <c r="S8" s="3">
        <f>COUNTBLANK(Table13[[#This Row],[Lower case]:[Proper]])</f>
        <v>0</v>
      </c>
    </row>
    <row r="9" spans="1:19" x14ac:dyDescent="0.35">
      <c r="C9">
        <f>SUM(Table13[Python])</f>
        <v>332</v>
      </c>
      <c r="G9" s="3"/>
      <c r="H9" s="3"/>
      <c r="I9" s="3"/>
      <c r="J9" s="3"/>
      <c r="K9" s="3"/>
      <c r="L9" s="3"/>
      <c r="M9" s="3"/>
      <c r="N9" s="3"/>
      <c r="O9" s="3"/>
    </row>
    <row r="11" spans="1:19" x14ac:dyDescent="0.35">
      <c r="A11" s="4"/>
      <c r="B11" s="4"/>
      <c r="C11" s="4"/>
      <c r="D11" s="4"/>
      <c r="E11" s="4"/>
      <c r="F11" s="4"/>
      <c r="G11" s="5"/>
    </row>
    <row r="12" spans="1:19" x14ac:dyDescent="0.35">
      <c r="A12" s="4"/>
      <c r="B12" s="4" t="s">
        <v>18</v>
      </c>
      <c r="C12" s="4"/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7" t="s">
        <v>22</v>
      </c>
      <c r="J12" s="7" t="s">
        <v>45</v>
      </c>
      <c r="K12" s="7" t="s">
        <v>46</v>
      </c>
      <c r="L12" s="7" t="s">
        <v>47</v>
      </c>
      <c r="M12" t="s">
        <v>48</v>
      </c>
      <c r="N12" t="s">
        <v>49</v>
      </c>
      <c r="O12" t="s">
        <v>50</v>
      </c>
      <c r="P12" t="s">
        <v>62</v>
      </c>
      <c r="Q12" t="s">
        <v>63</v>
      </c>
    </row>
    <row r="13" spans="1:19" x14ac:dyDescent="0.35">
      <c r="A13" s="4"/>
      <c r="B13" s="4" t="s">
        <v>19</v>
      </c>
      <c r="C13" s="4"/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7" t="s">
        <v>41</v>
      </c>
      <c r="J13" s="7" t="s">
        <v>42</v>
      </c>
      <c r="K13" s="7" t="s">
        <v>43</v>
      </c>
      <c r="L13" s="7" t="s">
        <v>44</v>
      </c>
      <c r="M13" t="s">
        <v>51</v>
      </c>
      <c r="N13" t="s">
        <v>52</v>
      </c>
      <c r="O13" t="s">
        <v>53</v>
      </c>
      <c r="Q13" s="8"/>
    </row>
    <row r="14" spans="1:19" x14ac:dyDescent="0.35">
      <c r="A14" s="4"/>
      <c r="B14" s="4" t="s">
        <v>20</v>
      </c>
      <c r="C14" s="4"/>
      <c r="D14" s="2" t="s">
        <v>6</v>
      </c>
      <c r="E14" s="2">
        <v>59</v>
      </c>
      <c r="F14" s="2">
        <v>54</v>
      </c>
      <c r="G14" s="2">
        <v>67</v>
      </c>
      <c r="H14" s="2">
        <v>90</v>
      </c>
      <c r="I14">
        <f>SUM(E14:H14)</f>
        <v>270</v>
      </c>
      <c r="J14" t="str">
        <f>IF(250&lt;I14,"Pass","Fail")</f>
        <v>Pass</v>
      </c>
      <c r="K14" t="str">
        <f>IF(E14&gt;50,"Pass","fail")</f>
        <v>Pass</v>
      </c>
      <c r="L14" t="str">
        <f>IF(F14&gt;50,"A","F")</f>
        <v>A</v>
      </c>
      <c r="M14" t="b">
        <f>AND(F14&gt;50,G14&gt;50)</f>
        <v>1</v>
      </c>
      <c r="N14" t="b">
        <f>OR(Table3[[#This Row],[Column7]]="Pass",Table3[[#This Row],[Column8]]="Pass")</f>
        <v>1</v>
      </c>
      <c r="O14" t="b">
        <f>NOT(Table3[[#This Row],[Column11]])</f>
        <v>0</v>
      </c>
      <c r="P14" s="8">
        <v>46058</v>
      </c>
      <c r="Q14" s="8">
        <f>DAY(Table3[[#This Row],[Column13]])</f>
        <v>5</v>
      </c>
    </row>
    <row r="15" spans="1:19" x14ac:dyDescent="0.35">
      <c r="A15" s="4"/>
      <c r="B15" s="6" t="s">
        <v>21</v>
      </c>
      <c r="C15" s="4"/>
      <c r="D15" s="2" t="s">
        <v>7</v>
      </c>
      <c r="E15" s="2">
        <v>56</v>
      </c>
      <c r="F15" s="2">
        <v>43</v>
      </c>
      <c r="G15" s="2">
        <v>87</v>
      </c>
      <c r="H15" s="2">
        <v>97</v>
      </c>
      <c r="I15">
        <f t="shared" ref="I15:I20" si="1">SUM(E15:H15)</f>
        <v>283</v>
      </c>
      <c r="J15" t="str">
        <f t="shared" ref="J15:J20" si="2">IF(250&lt;I15,"Pass","Fail")</f>
        <v>Pass</v>
      </c>
      <c r="K15" t="str">
        <f t="shared" ref="K15:K20" si="3">IF(E15&gt;50,"Pass","fail")</f>
        <v>Pass</v>
      </c>
      <c r="L15" t="str">
        <f t="shared" ref="L15:L20" si="4">IF(F15&gt;50,"A","F")</f>
        <v>F</v>
      </c>
      <c r="M15" t="b">
        <f t="shared" ref="M15:M20" si="5">AND(F15&gt;50,G15&gt;50)</f>
        <v>0</v>
      </c>
      <c r="N15" t="b">
        <f>OR(Table3[[#This Row],[Column7]]="Pass",Table3[[#This Row],[Column8]]="Pass")</f>
        <v>1</v>
      </c>
      <c r="O15" t="b">
        <f>NOT(Table3[[#This Row],[Column11]])</f>
        <v>0</v>
      </c>
      <c r="P15" s="8">
        <v>46059</v>
      </c>
      <c r="Q15" s="8">
        <f>DAY(Table3[[#This Row],[Column13]])</f>
        <v>6</v>
      </c>
    </row>
    <row r="16" spans="1:19" x14ac:dyDescent="0.35">
      <c r="A16" s="4"/>
      <c r="B16" s="6" t="s">
        <v>23</v>
      </c>
      <c r="C16" s="4"/>
      <c r="D16" s="2" t="s">
        <v>8</v>
      </c>
      <c r="E16" s="2"/>
      <c r="F16" s="2"/>
      <c r="G16" s="2">
        <v>96</v>
      </c>
      <c r="H16" s="2">
        <v>95</v>
      </c>
      <c r="I16">
        <f t="shared" si="1"/>
        <v>191</v>
      </c>
      <c r="J16" t="str">
        <f t="shared" si="2"/>
        <v>Fail</v>
      </c>
      <c r="K16" t="str">
        <f t="shared" si="3"/>
        <v>fail</v>
      </c>
      <c r="L16" t="str">
        <f t="shared" si="4"/>
        <v>F</v>
      </c>
      <c r="M16" t="b">
        <f t="shared" si="5"/>
        <v>0</v>
      </c>
      <c r="N16" t="b">
        <f>OR(Table3[[#This Row],[Column7]]="Pass",Table3[[#This Row],[Column8]]="Pass")</f>
        <v>0</v>
      </c>
      <c r="O16" t="b">
        <f>NOT(Table3[[#This Row],[Column11]])</f>
        <v>1</v>
      </c>
      <c r="P16" s="8">
        <v>46060</v>
      </c>
      <c r="Q16" s="8">
        <f>DAY(Table3[[#This Row],[Column13]])</f>
        <v>7</v>
      </c>
    </row>
    <row r="17" spans="1:17" x14ac:dyDescent="0.35">
      <c r="A17" s="4"/>
      <c r="B17" s="6" t="s">
        <v>30</v>
      </c>
      <c r="C17" s="4"/>
      <c r="D17" s="2" t="s">
        <v>9</v>
      </c>
      <c r="E17" s="2">
        <v>54</v>
      </c>
      <c r="F17" s="2">
        <v>76</v>
      </c>
      <c r="G17" s="2">
        <v>94</v>
      </c>
      <c r="H17" s="2">
        <v>87</v>
      </c>
      <c r="I17">
        <f t="shared" si="1"/>
        <v>311</v>
      </c>
      <c r="J17" t="str">
        <f t="shared" si="2"/>
        <v>Pass</v>
      </c>
      <c r="K17" t="str">
        <f t="shared" si="3"/>
        <v>Pass</v>
      </c>
      <c r="L17" t="str">
        <f t="shared" si="4"/>
        <v>A</v>
      </c>
      <c r="M17" t="b">
        <f t="shared" si="5"/>
        <v>1</v>
      </c>
      <c r="N17" t="b">
        <f>OR(Table3[[#This Row],[Column7]]="Pass",Table3[[#This Row],[Column8]]="Pass")</f>
        <v>1</v>
      </c>
      <c r="O17" t="b">
        <f>NOT(Table3[[#This Row],[Column11]])</f>
        <v>0</v>
      </c>
      <c r="P17" s="8">
        <v>46061</v>
      </c>
      <c r="Q17" s="8">
        <f>DAY(Table3[[#This Row],[Column13]])</f>
        <v>8</v>
      </c>
    </row>
    <row r="18" spans="1:17" x14ac:dyDescent="0.35">
      <c r="B18" s="6" t="s">
        <v>31</v>
      </c>
      <c r="D18" s="2" t="s">
        <v>10</v>
      </c>
      <c r="E18" s="2">
        <v>76</v>
      </c>
      <c r="F18" s="2"/>
      <c r="G18" s="2">
        <v>93</v>
      </c>
      <c r="H18" s="2">
        <v>78</v>
      </c>
      <c r="I18">
        <f t="shared" si="1"/>
        <v>247</v>
      </c>
      <c r="J18" t="str">
        <f t="shared" si="2"/>
        <v>Fail</v>
      </c>
      <c r="K18" t="str">
        <f t="shared" si="3"/>
        <v>Pass</v>
      </c>
      <c r="L18" t="str">
        <f t="shared" si="4"/>
        <v>F</v>
      </c>
      <c r="M18" t="b">
        <f t="shared" si="5"/>
        <v>0</v>
      </c>
      <c r="N18" t="b">
        <f>OR(Table3[[#This Row],[Column7]]="Pass",Table3[[#This Row],[Column8]]="Pass")</f>
        <v>1</v>
      </c>
      <c r="O18" t="b">
        <f>NOT(Table3[[#This Row],[Column11]])</f>
        <v>0</v>
      </c>
      <c r="P18" s="8">
        <v>46062</v>
      </c>
      <c r="Q18" s="8">
        <f>DAY(Table3[[#This Row],[Column13]])</f>
        <v>9</v>
      </c>
    </row>
    <row r="19" spans="1:17" x14ac:dyDescent="0.35">
      <c r="B19" s="6" t="s">
        <v>32</v>
      </c>
      <c r="D19" s="2" t="s">
        <v>11</v>
      </c>
      <c r="E19" s="2"/>
      <c r="F19" s="2">
        <v>98</v>
      </c>
      <c r="G19" s="2">
        <v>91</v>
      </c>
      <c r="H19" s="2">
        <v>91</v>
      </c>
      <c r="I19">
        <f t="shared" si="1"/>
        <v>280</v>
      </c>
      <c r="J19" t="str">
        <f t="shared" si="2"/>
        <v>Pass</v>
      </c>
      <c r="K19" t="str">
        <f t="shared" si="3"/>
        <v>fail</v>
      </c>
      <c r="L19" t="str">
        <f t="shared" si="4"/>
        <v>A</v>
      </c>
      <c r="M19" t="b">
        <f t="shared" si="5"/>
        <v>1</v>
      </c>
      <c r="N19" t="b">
        <f>OR(Table3[[#This Row],[Column7]]="Pass",Table3[[#This Row],[Column8]]="Pass")</f>
        <v>1</v>
      </c>
      <c r="O19" t="b">
        <f>NOT(Table3[[#This Row],[Column11]])</f>
        <v>0</v>
      </c>
      <c r="P19" s="8">
        <v>46063</v>
      </c>
      <c r="Q19" s="8">
        <f>DAY(Table3[[#This Row],[Column13]])</f>
        <v>10</v>
      </c>
    </row>
    <row r="20" spans="1:17" x14ac:dyDescent="0.35">
      <c r="B20" s="6" t="s">
        <v>33</v>
      </c>
      <c r="D20" s="2" t="s">
        <v>12</v>
      </c>
      <c r="E20" s="2">
        <v>38</v>
      </c>
      <c r="F20" s="2">
        <v>65</v>
      </c>
      <c r="G20" s="2">
        <v>89</v>
      </c>
      <c r="H20" s="2">
        <v>87</v>
      </c>
      <c r="I20">
        <f t="shared" si="1"/>
        <v>279</v>
      </c>
      <c r="J20" t="str">
        <f t="shared" si="2"/>
        <v>Pass</v>
      </c>
      <c r="K20" t="str">
        <f t="shared" si="3"/>
        <v>fail</v>
      </c>
      <c r="L20" t="str">
        <f t="shared" si="4"/>
        <v>A</v>
      </c>
      <c r="M20" t="b">
        <f t="shared" si="5"/>
        <v>1</v>
      </c>
      <c r="N20" t="b">
        <f>OR(Table3[[#This Row],[Column7]]="Pass",Table3[[#This Row],[Column8]]="Pass")</f>
        <v>1</v>
      </c>
      <c r="O20" t="b">
        <f>NOT(Table3[[#This Row],[Column11]])</f>
        <v>0</v>
      </c>
      <c r="P20" s="8">
        <v>46064</v>
      </c>
      <c r="Q20" s="8">
        <f>DAY(Table3[[#This Row],[Column13]])</f>
        <v>11</v>
      </c>
    </row>
    <row r="21" spans="1:17" x14ac:dyDescent="0.35">
      <c r="B21" s="6" t="s">
        <v>37</v>
      </c>
      <c r="Q21" s="8">
        <f>DAY(Table3[[#This Row],[Column13]])</f>
        <v>0</v>
      </c>
    </row>
    <row r="22" spans="1:17" x14ac:dyDescent="0.35">
      <c r="B22" s="6" t="s">
        <v>38</v>
      </c>
      <c r="Q22" s="8">
        <f>DAY(Table3[[#This Row],[Column13]])</f>
        <v>0</v>
      </c>
    </row>
    <row r="23" spans="1:17" x14ac:dyDescent="0.35">
      <c r="B23" s="6" t="s">
        <v>39</v>
      </c>
    </row>
    <row r="24" spans="1:17" x14ac:dyDescent="0.35">
      <c r="B24" s="6" t="s">
        <v>40</v>
      </c>
    </row>
    <row r="25" spans="1:17" x14ac:dyDescent="0.35">
      <c r="B25" s="6" t="s">
        <v>54</v>
      </c>
      <c r="D25" s="8">
        <f ca="1">TODAY()</f>
        <v>46058</v>
      </c>
      <c r="E25" s="9">
        <f ca="1">NOW()</f>
        <v>46058.471190625001</v>
      </c>
    </row>
    <row r="26" spans="1:17" x14ac:dyDescent="0.35">
      <c r="B26" s="6" t="s">
        <v>55</v>
      </c>
      <c r="L26" s="10">
        <v>46058</v>
      </c>
      <c r="M26">
        <f>DAY(L26)</f>
        <v>5</v>
      </c>
      <c r="N26">
        <f>MONTH(L26)</f>
        <v>2</v>
      </c>
      <c r="O26">
        <f>YEAR(L26)</f>
        <v>2026</v>
      </c>
      <c r="Q26" s="8">
        <f>L26+1</f>
        <v>46059</v>
      </c>
    </row>
    <row r="27" spans="1:17" x14ac:dyDescent="0.35">
      <c r="B27" s="6" t="s">
        <v>56</v>
      </c>
      <c r="D27" s="8">
        <f ca="1">TODAY()+1</f>
        <v>46059</v>
      </c>
      <c r="L27" s="10">
        <v>46059</v>
      </c>
      <c r="M27">
        <f t="shared" ref="M27:M32" si="6">DAY(L27)</f>
        <v>6</v>
      </c>
      <c r="N27">
        <f t="shared" ref="N27:N32" si="7">MONTH(L27)</f>
        <v>2</v>
      </c>
      <c r="O27">
        <f t="shared" ref="O27:O32" si="8">YEAR(L27)</f>
        <v>2026</v>
      </c>
    </row>
    <row r="28" spans="1:17" x14ac:dyDescent="0.35">
      <c r="B28" s="6" t="s">
        <v>57</v>
      </c>
      <c r="L28" s="10">
        <v>46060</v>
      </c>
      <c r="M28">
        <f t="shared" si="6"/>
        <v>7</v>
      </c>
      <c r="N28">
        <f t="shared" si="7"/>
        <v>2</v>
      </c>
      <c r="O28">
        <f t="shared" si="8"/>
        <v>2026</v>
      </c>
    </row>
    <row r="29" spans="1:17" x14ac:dyDescent="0.35">
      <c r="B29" s="6" t="s">
        <v>58</v>
      </c>
      <c r="D29" s="8">
        <f ca="1">TODAY()+45</f>
        <v>46103</v>
      </c>
      <c r="L29" s="10">
        <v>46061</v>
      </c>
      <c r="M29">
        <f t="shared" si="6"/>
        <v>8</v>
      </c>
      <c r="N29">
        <f t="shared" si="7"/>
        <v>2</v>
      </c>
      <c r="O29">
        <f t="shared" si="8"/>
        <v>2026</v>
      </c>
    </row>
    <row r="30" spans="1:17" x14ac:dyDescent="0.35">
      <c r="B30" s="6" t="s">
        <v>59</v>
      </c>
      <c r="L30" s="10">
        <v>46062</v>
      </c>
      <c r="M30">
        <f t="shared" si="6"/>
        <v>9</v>
      </c>
      <c r="N30">
        <f t="shared" si="7"/>
        <v>2</v>
      </c>
      <c r="O30">
        <f t="shared" si="8"/>
        <v>2026</v>
      </c>
    </row>
    <row r="31" spans="1:17" x14ac:dyDescent="0.35">
      <c r="B31" s="6" t="s">
        <v>60</v>
      </c>
      <c r="D31" s="8">
        <f ca="1">TODAY()-1</f>
        <v>46057</v>
      </c>
      <c r="L31" s="10">
        <v>46063</v>
      </c>
      <c r="M31">
        <f t="shared" si="6"/>
        <v>10</v>
      </c>
      <c r="N31">
        <f t="shared" si="7"/>
        <v>2</v>
      </c>
      <c r="O31">
        <f t="shared" si="8"/>
        <v>2026</v>
      </c>
    </row>
    <row r="32" spans="1:17" x14ac:dyDescent="0.35">
      <c r="B32" s="6" t="s">
        <v>61</v>
      </c>
      <c r="L32" s="10">
        <v>46064</v>
      </c>
      <c r="M32">
        <f t="shared" si="6"/>
        <v>11</v>
      </c>
      <c r="N32">
        <f t="shared" si="7"/>
        <v>2</v>
      </c>
      <c r="O32">
        <f t="shared" si="8"/>
        <v>2026</v>
      </c>
    </row>
    <row r="33" spans="2:11" x14ac:dyDescent="0.35">
      <c r="B33" s="6" t="s">
        <v>64</v>
      </c>
    </row>
    <row r="34" spans="2:11" x14ac:dyDescent="0.35">
      <c r="B34" s="6" t="s">
        <v>65</v>
      </c>
    </row>
    <row r="35" spans="2:11" x14ac:dyDescent="0.35">
      <c r="B35" s="6" t="s">
        <v>66</v>
      </c>
      <c r="D35" s="1" t="s">
        <v>2</v>
      </c>
      <c r="E35" s="1" t="s">
        <v>3</v>
      </c>
      <c r="F35" t="s">
        <v>67</v>
      </c>
      <c r="G35" t="s">
        <v>68</v>
      </c>
      <c r="H35" t="s">
        <v>69</v>
      </c>
      <c r="I35" t="s">
        <v>70</v>
      </c>
      <c r="K35" t="s">
        <v>75</v>
      </c>
    </row>
    <row r="36" spans="2:11" x14ac:dyDescent="0.35">
      <c r="B36" s="6" t="s">
        <v>71</v>
      </c>
      <c r="D36" s="2">
        <v>59</v>
      </c>
      <c r="E36" s="2">
        <v>54</v>
      </c>
      <c r="F36">
        <f>D36+E36</f>
        <v>113</v>
      </c>
      <c r="G36">
        <f>D36-E36</f>
        <v>5</v>
      </c>
      <c r="H36">
        <f>D36*E36</f>
        <v>3186</v>
      </c>
      <c r="I36" s="11">
        <f>D36/E36</f>
        <v>1.0925925925925926</v>
      </c>
      <c r="J36" t="e">
        <f>m</f>
        <v>#NAME?</v>
      </c>
      <c r="K36" t="s">
        <v>76</v>
      </c>
    </row>
    <row r="37" spans="2:11" x14ac:dyDescent="0.35">
      <c r="B37" s="6" t="s">
        <v>72</v>
      </c>
      <c r="D37" s="2">
        <v>56</v>
      </c>
      <c r="E37" s="2">
        <v>43</v>
      </c>
      <c r="F37">
        <f t="shared" ref="F37:F42" si="9">D37+E37</f>
        <v>99</v>
      </c>
      <c r="G37">
        <f t="shared" ref="G37:G42" si="10">D37-E37</f>
        <v>13</v>
      </c>
      <c r="H37">
        <f t="shared" ref="H37:H42" si="11">D37*E37</f>
        <v>2408</v>
      </c>
      <c r="I37" s="11">
        <f t="shared" ref="I37:I42" si="12">D37/E37</f>
        <v>1.3023255813953489</v>
      </c>
      <c r="K37" t="s">
        <v>76</v>
      </c>
    </row>
    <row r="38" spans="2:11" x14ac:dyDescent="0.35">
      <c r="B38" s="6" t="s">
        <v>73</v>
      </c>
      <c r="D38" s="2">
        <v>53</v>
      </c>
      <c r="E38" s="2"/>
      <c r="F38">
        <f t="shared" si="9"/>
        <v>53</v>
      </c>
      <c r="G38">
        <f t="shared" si="10"/>
        <v>53</v>
      </c>
      <c r="H38">
        <f t="shared" si="11"/>
        <v>0</v>
      </c>
      <c r="I38" s="11" t="e">
        <f t="shared" si="12"/>
        <v>#DIV/0!</v>
      </c>
      <c r="K38" t="s">
        <v>77</v>
      </c>
    </row>
    <row r="39" spans="2:11" x14ac:dyDescent="0.35">
      <c r="B39" s="6" t="s">
        <v>74</v>
      </c>
      <c r="D39" s="2">
        <v>54</v>
      </c>
      <c r="E39" s="2">
        <v>76</v>
      </c>
      <c r="F39">
        <f t="shared" si="9"/>
        <v>130</v>
      </c>
      <c r="G39">
        <f t="shared" si="10"/>
        <v>-22</v>
      </c>
      <c r="H39">
        <f t="shared" si="11"/>
        <v>4104</v>
      </c>
      <c r="I39" s="11">
        <f t="shared" si="12"/>
        <v>0.71052631578947367</v>
      </c>
      <c r="K39" t="s">
        <v>77</v>
      </c>
    </row>
    <row r="40" spans="2:11" x14ac:dyDescent="0.35">
      <c r="B40" s="6" t="s">
        <v>80</v>
      </c>
      <c r="D40" s="2">
        <v>76</v>
      </c>
      <c r="E40" s="2"/>
      <c r="F40">
        <f t="shared" si="9"/>
        <v>76</v>
      </c>
      <c r="G40">
        <f t="shared" si="10"/>
        <v>76</v>
      </c>
      <c r="H40">
        <f t="shared" si="11"/>
        <v>0</v>
      </c>
      <c r="I40" s="11" t="e">
        <f t="shared" si="12"/>
        <v>#DIV/0!</v>
      </c>
      <c r="K40" t="s">
        <v>78</v>
      </c>
    </row>
    <row r="41" spans="2:11" x14ac:dyDescent="0.35">
      <c r="B41" s="6" t="s">
        <v>81</v>
      </c>
      <c r="D41" s="2">
        <v>52</v>
      </c>
      <c r="E41" s="2">
        <v>98</v>
      </c>
      <c r="F41">
        <f t="shared" si="9"/>
        <v>150</v>
      </c>
      <c r="G41">
        <f t="shared" si="10"/>
        <v>-46</v>
      </c>
      <c r="H41">
        <f t="shared" si="11"/>
        <v>5096</v>
      </c>
      <c r="I41" s="11">
        <f t="shared" si="12"/>
        <v>0.53061224489795922</v>
      </c>
      <c r="K41" t="s">
        <v>77</v>
      </c>
    </row>
    <row r="42" spans="2:11" x14ac:dyDescent="0.35">
      <c r="B42" s="6" t="s">
        <v>82</v>
      </c>
      <c r="D42" s="2">
        <v>87</v>
      </c>
      <c r="E42" s="2">
        <v>65</v>
      </c>
      <c r="F42">
        <f t="shared" si="9"/>
        <v>152</v>
      </c>
      <c r="G42">
        <f t="shared" si="10"/>
        <v>22</v>
      </c>
      <c r="H42">
        <f t="shared" si="11"/>
        <v>5655</v>
      </c>
      <c r="I42" s="11">
        <f t="shared" si="12"/>
        <v>1.3384615384615384</v>
      </c>
      <c r="K42" t="s">
        <v>79</v>
      </c>
    </row>
    <row r="44" spans="2:11" x14ac:dyDescent="0.35">
      <c r="D44">
        <f>MEDIAN(D36:D42)</f>
        <v>56</v>
      </c>
      <c r="K44" t="e">
        <f>MODE(K36:K42)</f>
        <v>#N/A</v>
      </c>
    </row>
    <row r="47" spans="2:11" x14ac:dyDescent="0.35">
      <c r="D47">
        <f>POWER(2,5)</f>
        <v>32</v>
      </c>
      <c r="E47">
        <f>SQRT(D47)</f>
        <v>5.6568542494923806</v>
      </c>
      <c r="F47" t="b">
        <f>ISNUMBER(E47)</f>
        <v>1</v>
      </c>
      <c r="G47" t="b">
        <f>ISBLANK(G45)</f>
        <v>1</v>
      </c>
      <c r="H47" t="b">
        <f>ISTEXT(G47)</f>
        <v>0</v>
      </c>
      <c r="I47" t="b">
        <f>ISEVEN(D47)</f>
        <v>1</v>
      </c>
    </row>
    <row r="48" spans="2:11" x14ac:dyDescent="0.35">
      <c r="D48">
        <f>POWER(D36,2)</f>
        <v>3481</v>
      </c>
      <c r="H48" t="b">
        <f>ISTEXT(B40)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2026-02-04T04:31:52Z</dcterms:created>
  <dcterms:modified xsi:type="dcterms:W3CDTF">2026-02-05T05:55:20Z</dcterms:modified>
</cp:coreProperties>
</file>